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s\Documents\"/>
    </mc:Choice>
  </mc:AlternateContent>
  <xr:revisionPtr revIDLastSave="0" documentId="8_{E29337D5-AE9C-4D1B-B63E-38DD032D4A54}" xr6:coauthVersionLast="47" xr6:coauthVersionMax="47" xr10:uidLastSave="{00000000-0000-0000-0000-000000000000}"/>
  <bookViews>
    <workbookView xWindow="-28920" yWindow="-120" windowWidth="29040" windowHeight="15720" xr2:uid="{BE5C6000-E70A-4C58-8AD2-2DD93B4C1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1" l="1"/>
  <c r="E14" i="1" s="1"/>
  <c r="H4" i="1"/>
  <c r="D19" i="1" s="1"/>
  <c r="E11" i="1"/>
  <c r="E12" i="1" l="1"/>
  <c r="E13" i="1"/>
  <c r="E9" i="1"/>
  <c r="E10" i="1"/>
  <c r="E21" i="1"/>
  <c r="E20" i="1"/>
  <c r="E19" i="1"/>
  <c r="F19" i="1" s="1"/>
  <c r="E18" i="1"/>
  <c r="E17" i="1"/>
  <c r="E16" i="1"/>
  <c r="E15" i="1"/>
  <c r="D18" i="1"/>
  <c r="D17" i="1"/>
  <c r="F17" i="1" s="1"/>
  <c r="D16" i="1"/>
  <c r="D15" i="1"/>
  <c r="F15" i="1" s="1"/>
  <c r="D14" i="1"/>
  <c r="F14" i="1" s="1"/>
  <c r="D13" i="1"/>
  <c r="D12" i="1"/>
  <c r="F12" i="1" s="1"/>
  <c r="D11" i="1"/>
  <c r="F11" i="1" s="1"/>
  <c r="D9" i="1"/>
  <c r="D10" i="1"/>
  <c r="D21" i="1"/>
  <c r="D20" i="1"/>
  <c r="F18" i="1" l="1"/>
  <c r="F20" i="1"/>
  <c r="F13" i="1"/>
  <c r="F16" i="1"/>
  <c r="F10" i="1"/>
  <c r="F21" i="1"/>
  <c r="F9" i="1"/>
</calcChain>
</file>

<file path=xl/sharedStrings.xml><?xml version="1.0" encoding="utf-8"?>
<sst xmlns="http://schemas.openxmlformats.org/spreadsheetml/2006/main" count="16" uniqueCount="13">
  <si>
    <t>INPUT</t>
  </si>
  <si>
    <t>repo</t>
  </si>
  <si>
    <t>rate</t>
  </si>
  <si>
    <t>bid/ask</t>
  </si>
  <si>
    <t>BID</t>
  </si>
  <si>
    <t>ASK</t>
  </si>
  <si>
    <t>MARK</t>
  </si>
  <si>
    <t>(output)</t>
  </si>
  <si>
    <t>OUTPUT</t>
  </si>
  <si>
    <t>time</t>
  </si>
  <si>
    <t>spread</t>
  </si>
  <si>
    <t>fin fee</t>
  </si>
  <si>
    <t>(as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</si>
</sst>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4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6" xfId="0" applyFill="1" applyBorder="1"/>
    <xf numFmtId="0" fontId="0" fillId="5" borderId="9" xfId="0" applyFill="1" applyBorder="1"/>
    <xf numFmtId="0" fontId="0" fillId="6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Proj TR with fee adjusted carry, BID vs ASK</a:t>
            </a:r>
          </a:p>
        </c:rich>
      </c:tx>
      <c:layout>
        <c:manualLayout>
          <c:xMode val="edge"/>
          <c:yMode val="edge"/>
          <c:x val="0.13219375500722491"/>
          <c:y val="2.20754923724376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BID Price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Sheet1!$C$9:$C$21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xVal>
          <c:yVal>
            <c:numRef>
              <c:f>Sheet1!$D$9:$D$21</c:f>
              <c:numCache>
                <c:formatCode>General</c:formatCode>
                <c:ptCount val="13"/>
                <c:pt idx="0">
                  <c:v>88.712500000000006</c:v>
                </c:pt>
                <c:pt idx="1">
                  <c:v>88.856775004192897</c:v>
                </c:pt>
                <c:pt idx="2">
                  <c:v>89.001284645858931</c:v>
                </c:pt>
                <c:pt idx="3">
                  <c:v>89.146029306593931</c:v>
                </c:pt>
                <c:pt idx="4">
                  <c:v>89.291009368614368</c:v>
                </c:pt>
                <c:pt idx="5">
                  <c:v>89.436225214758295</c:v>
                </c:pt>
                <c:pt idx="6">
                  <c:v>89.581677228486427</c:v>
                </c:pt>
                <c:pt idx="7">
                  <c:v>89.727365793883038</c:v>
                </c:pt>
                <c:pt idx="8">
                  <c:v>89.873291295657083</c:v>
                </c:pt>
                <c:pt idx="9">
                  <c:v>90.019454119143163</c:v>
                </c:pt>
                <c:pt idx="10">
                  <c:v>90.165854650302592</c:v>
                </c:pt>
                <c:pt idx="11">
                  <c:v>90.312493275724364</c:v>
                </c:pt>
                <c:pt idx="12">
                  <c:v>90.459370382626162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04-4780-BDE0-3303FABD7778}"/>
            </c:ext>
          </c:extLst>
        </c:ser>
        <c:ser>
          <c:idx val="1"/>
          <c:order val="1"/>
          <c:tx>
            <c:v>ASK Price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4"/>
                </a:solidFill>
                <a:prstDash val="sysDash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Sheet1!$C$9:$C$21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xVal>
          <c:yVal>
            <c:numRef>
              <c:f>Sheet1!$E$9:$E$21</c:f>
              <c:numCache>
                <c:formatCode>General</c:formatCode>
                <c:ptCount val="13"/>
                <c:pt idx="0">
                  <c:v>88.787499999999994</c:v>
                </c:pt>
                <c:pt idx="1">
                  <c:v>88.93189697826999</c:v>
                </c:pt>
                <c:pt idx="2">
                  <c:v>89.076528792382121</c:v>
                </c:pt>
                <c:pt idx="3">
                  <c:v>89.221395824254842</c:v>
                </c:pt>
                <c:pt idx="4">
                  <c:v>89.366498456427749</c:v>
                </c:pt>
                <c:pt idx="5">
                  <c:v>89.511837072062576</c:v>
                </c:pt>
                <c:pt idx="6">
                  <c:v>89.657412054944203</c:v>
                </c:pt>
                <c:pt idx="7">
                  <c:v>89.803223789481635</c:v>
                </c:pt>
                <c:pt idx="8">
                  <c:v>89.949272660709056</c:v>
                </c:pt>
                <c:pt idx="9">
                  <c:v>90.095559054286866</c:v>
                </c:pt>
                <c:pt idx="10">
                  <c:v>90.242083356502647</c:v>
                </c:pt>
                <c:pt idx="11">
                  <c:v>90.388845954272242</c:v>
                </c:pt>
                <c:pt idx="12">
                  <c:v>90.535847235140707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04-4780-BDE0-3303FABD7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885551"/>
        <c:axId val="255897551"/>
      </c:scatterChart>
      <c:valAx>
        <c:axId val="25588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897551"/>
        <c:crosses val="autoZero"/>
        <c:crossBetween val="midCat"/>
      </c:valAx>
      <c:valAx>
        <c:axId val="25589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885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Proj BID ASK Spread in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Sheet1!$C$9:$C$21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xVal>
          <c:yVal>
            <c:numRef>
              <c:f>Sheet1!$F$9:$F$21</c:f>
              <c:numCache>
                <c:formatCode>General</c:formatCode>
                <c:ptCount val="13"/>
                <c:pt idx="0">
                  <c:v>7.4999999999988631E-2</c:v>
                </c:pt>
                <c:pt idx="1">
                  <c:v>7.5121974077092091E-2</c:v>
                </c:pt>
                <c:pt idx="2">
                  <c:v>7.524414652318967E-2</c:v>
                </c:pt>
                <c:pt idx="3">
                  <c:v>7.5366517660910404E-2</c:v>
                </c:pt>
                <c:pt idx="4">
                  <c:v>7.5489087813380706E-2</c:v>
                </c:pt>
                <c:pt idx="5">
                  <c:v>7.5611857304281216E-2</c:v>
                </c:pt>
                <c:pt idx="6">
                  <c:v>7.5734826457775739E-2</c:v>
                </c:pt>
                <c:pt idx="7">
                  <c:v>7.5857995598596517E-2</c:v>
                </c:pt>
                <c:pt idx="8">
                  <c:v>7.5981365051973171E-2</c:v>
                </c:pt>
                <c:pt idx="9">
                  <c:v>7.6104935143703756E-2</c:v>
                </c:pt>
                <c:pt idx="10">
                  <c:v>7.6228706200055285E-2</c:v>
                </c:pt>
                <c:pt idx="11">
                  <c:v>7.6352678547877417E-2</c:v>
                </c:pt>
                <c:pt idx="12">
                  <c:v>7.6476852514545612E-2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6F-492F-A5A2-A6966AB2A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922031"/>
        <c:axId val="255918671"/>
      </c:scatterChart>
      <c:valAx>
        <c:axId val="25592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918671"/>
        <c:crosses val="autoZero"/>
        <c:crossBetween val="midCat"/>
      </c:valAx>
      <c:valAx>
        <c:axId val="25591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bid/ask spread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922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5</xdr:row>
      <xdr:rowOff>71436</xdr:rowOff>
    </xdr:from>
    <xdr:to>
      <xdr:col>15</xdr:col>
      <xdr:colOff>28575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873789-D26F-EBE6-FD76-5B82F90FD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309561</xdr:colOff>
      <xdr:row>5</xdr:row>
      <xdr:rowOff>61911</xdr:rowOff>
    </xdr:from>
    <xdr:to>
      <xdr:col>24</xdr:col>
      <xdr:colOff>276224</xdr:colOff>
      <xdr:row>23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D8A41E-9B4D-458F-9203-35AE6002E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D52D-0EC1-41BF-A9C3-27E18042B481}">
  <dimension ref="B1:I21"/>
  <sheetViews>
    <sheetView tabSelected="1" zoomScale="110" zoomScaleNormal="110" workbookViewId="0">
      <selection activeCell="N3" sqref="N3"/>
    </sheetView>
  </sheetViews>
  <sheetFormatPr defaultRowHeight="15" x14ac:dyDescent="0.25"/>
  <cols>
    <col min="14" max="14" width="9" customWidth="1"/>
  </cols>
  <sheetData>
    <row r="1" spans="2:9" ht="15.75" thickBot="1" x14ac:dyDescent="0.3"/>
    <row r="2" spans="2:9" ht="15.75" thickBot="1" x14ac:dyDescent="0.3">
      <c r="B2" s="1" t="s">
        <v>0</v>
      </c>
      <c r="E2" t="s">
        <v>12</v>
      </c>
      <c r="H2" t="s">
        <v>7</v>
      </c>
      <c r="I2" t="s">
        <v>7</v>
      </c>
    </row>
    <row r="3" spans="2:9" x14ac:dyDescent="0.25">
      <c r="C3" s="2" t="s">
        <v>1</v>
      </c>
      <c r="D3" s="3" t="s">
        <v>2</v>
      </c>
      <c r="E3" s="3" t="s">
        <v>11</v>
      </c>
      <c r="F3" s="3" t="s">
        <v>6</v>
      </c>
      <c r="G3" s="3" t="s">
        <v>3</v>
      </c>
      <c r="H3" s="2" t="s">
        <v>4</v>
      </c>
      <c r="I3" s="4" t="s">
        <v>5</v>
      </c>
    </row>
    <row r="4" spans="2:9" ht="15.75" thickBot="1" x14ac:dyDescent="0.3">
      <c r="C4" s="5">
        <v>1.2500000000000001E-2</v>
      </c>
      <c r="D4" s="5">
        <v>3.5499999999999997E-2</v>
      </c>
      <c r="E4" s="5">
        <v>3.5000000000000001E-3</v>
      </c>
      <c r="F4" s="5">
        <v>88.75</v>
      </c>
      <c r="G4" s="5">
        <v>7.4999999999999997E-2</v>
      </c>
      <c r="H4" s="5">
        <f>F4-(G4/2)</f>
        <v>88.712500000000006</v>
      </c>
      <c r="I4" s="5">
        <f>F4+(G4/2)</f>
        <v>88.787499999999994</v>
      </c>
    </row>
    <row r="6" spans="2:9" ht="15.75" thickBot="1" x14ac:dyDescent="0.3"/>
    <row r="7" spans="2:9" ht="15.75" thickBot="1" x14ac:dyDescent="0.3">
      <c r="B7" s="1" t="s">
        <v>8</v>
      </c>
    </row>
    <row r="8" spans="2:9" ht="15.75" thickBot="1" x14ac:dyDescent="0.3">
      <c r="C8" s="6" t="s">
        <v>9</v>
      </c>
      <c r="D8" s="7" t="s">
        <v>4</v>
      </c>
      <c r="E8" s="7" t="s">
        <v>5</v>
      </c>
      <c r="F8" s="8" t="s">
        <v>10</v>
      </c>
    </row>
    <row r="9" spans="2:9" ht="15.75" thickBot="1" x14ac:dyDescent="0.3">
      <c r="C9" s="9">
        <v>0</v>
      </c>
      <c r="D9" s="9">
        <f>$H$4*EXP(($D$4-$C$4-$E$4)*(C9/360))</f>
        <v>88.712500000000006</v>
      </c>
      <c r="E9" s="9">
        <f>$I$4*EXP(($D$4-$C$4-$E$4)*(C9/360))</f>
        <v>88.787499999999994</v>
      </c>
      <c r="F9" s="9">
        <f>E9-D9</f>
        <v>7.4999999999988631E-2</v>
      </c>
    </row>
    <row r="10" spans="2:9" ht="15.75" thickBot="1" x14ac:dyDescent="0.3">
      <c r="C10" s="10">
        <v>30</v>
      </c>
      <c r="D10" s="10">
        <f t="shared" ref="D10:D21" si="0">$H$4*EXP(($D$4-$C$4-$E$4)*(C10/360))</f>
        <v>88.856775004192897</v>
      </c>
      <c r="E10" s="10">
        <f t="shared" ref="E10:E21" si="1">$I$4*EXP(($D$4-$C$4-$E$4)*(C10/360))</f>
        <v>88.93189697826999</v>
      </c>
      <c r="F10" s="10">
        <f>E10-D10</f>
        <v>7.5121974077092091E-2</v>
      </c>
    </row>
    <row r="11" spans="2:9" ht="15.75" thickBot="1" x14ac:dyDescent="0.3">
      <c r="C11" s="9">
        <v>60</v>
      </c>
      <c r="D11" s="9">
        <f t="shared" si="0"/>
        <v>89.001284645858931</v>
      </c>
      <c r="E11" s="9">
        <f t="shared" si="1"/>
        <v>89.076528792382121</v>
      </c>
      <c r="F11" s="9">
        <f t="shared" ref="F11:F21" si="2">E11-D11</f>
        <v>7.524414652318967E-2</v>
      </c>
    </row>
    <row r="12" spans="2:9" ht="15.75" thickBot="1" x14ac:dyDescent="0.3">
      <c r="C12" s="10">
        <v>90</v>
      </c>
      <c r="D12" s="10">
        <f t="shared" si="0"/>
        <v>89.146029306593931</v>
      </c>
      <c r="E12" s="10">
        <f t="shared" si="1"/>
        <v>89.221395824254842</v>
      </c>
      <c r="F12" s="10">
        <f t="shared" si="2"/>
        <v>7.5366517660910404E-2</v>
      </c>
    </row>
    <row r="13" spans="2:9" ht="15.75" thickBot="1" x14ac:dyDescent="0.3">
      <c r="C13" s="9">
        <v>120</v>
      </c>
      <c r="D13" s="9">
        <f t="shared" si="0"/>
        <v>89.291009368614368</v>
      </c>
      <c r="E13" s="9">
        <f t="shared" si="1"/>
        <v>89.366498456427749</v>
      </c>
      <c r="F13" s="9">
        <f t="shared" si="2"/>
        <v>7.5489087813380706E-2</v>
      </c>
    </row>
    <row r="14" spans="2:9" ht="15.75" thickBot="1" x14ac:dyDescent="0.3">
      <c r="C14" s="10">
        <v>150</v>
      </c>
      <c r="D14" s="10">
        <f t="shared" si="0"/>
        <v>89.436225214758295</v>
      </c>
      <c r="E14" s="10">
        <f t="shared" si="1"/>
        <v>89.511837072062576</v>
      </c>
      <c r="F14" s="10">
        <f t="shared" si="2"/>
        <v>7.5611857304281216E-2</v>
      </c>
    </row>
    <row r="15" spans="2:9" ht="15.75" thickBot="1" x14ac:dyDescent="0.3">
      <c r="C15" s="9">
        <v>180</v>
      </c>
      <c r="D15" s="9">
        <f t="shared" si="0"/>
        <v>89.581677228486427</v>
      </c>
      <c r="E15" s="9">
        <f t="shared" si="1"/>
        <v>89.657412054944203</v>
      </c>
      <c r="F15" s="9">
        <f t="shared" si="2"/>
        <v>7.5734826457775739E-2</v>
      </c>
    </row>
    <row r="16" spans="2:9" ht="15.75" thickBot="1" x14ac:dyDescent="0.3">
      <c r="C16" s="10">
        <v>210</v>
      </c>
      <c r="D16" s="10">
        <f t="shared" si="0"/>
        <v>89.727365793883038</v>
      </c>
      <c r="E16" s="10">
        <f t="shared" si="1"/>
        <v>89.803223789481635</v>
      </c>
      <c r="F16" s="10">
        <f t="shared" si="2"/>
        <v>7.5857995598596517E-2</v>
      </c>
    </row>
    <row r="17" spans="3:6" ht="15.75" thickBot="1" x14ac:dyDescent="0.3">
      <c r="C17" s="9">
        <v>240</v>
      </c>
      <c r="D17" s="9">
        <f t="shared" si="0"/>
        <v>89.873291295657083</v>
      </c>
      <c r="E17" s="9">
        <f t="shared" si="1"/>
        <v>89.949272660709056</v>
      </c>
      <c r="F17" s="9">
        <f t="shared" si="2"/>
        <v>7.5981365051973171E-2</v>
      </c>
    </row>
    <row r="18" spans="3:6" ht="15.75" thickBot="1" x14ac:dyDescent="0.3">
      <c r="C18" s="10">
        <v>270</v>
      </c>
      <c r="D18" s="10">
        <f t="shared" si="0"/>
        <v>90.019454119143163</v>
      </c>
      <c r="E18" s="10">
        <f t="shared" si="1"/>
        <v>90.095559054286866</v>
      </c>
      <c r="F18" s="10">
        <f t="shared" si="2"/>
        <v>7.6104935143703756E-2</v>
      </c>
    </row>
    <row r="19" spans="3:6" ht="15.75" thickBot="1" x14ac:dyDescent="0.3">
      <c r="C19" s="9">
        <v>300</v>
      </c>
      <c r="D19" s="9">
        <f t="shared" si="0"/>
        <v>90.165854650302592</v>
      </c>
      <c r="E19" s="9">
        <f t="shared" si="1"/>
        <v>90.242083356502647</v>
      </c>
      <c r="F19" s="9">
        <f t="shared" si="2"/>
        <v>7.6228706200055285E-2</v>
      </c>
    </row>
    <row r="20" spans="3:6" ht="15.75" thickBot="1" x14ac:dyDescent="0.3">
      <c r="C20" s="10">
        <v>330</v>
      </c>
      <c r="D20" s="10">
        <f t="shared" si="0"/>
        <v>90.312493275724364</v>
      </c>
      <c r="E20" s="10">
        <f t="shared" si="1"/>
        <v>90.388845954272242</v>
      </c>
      <c r="F20" s="10">
        <f t="shared" si="2"/>
        <v>7.6352678547877417E-2</v>
      </c>
    </row>
    <row r="21" spans="3:6" ht="15.75" thickBot="1" x14ac:dyDescent="0.3">
      <c r="C21" s="9">
        <v>360</v>
      </c>
      <c r="D21" s="9">
        <f t="shared" si="0"/>
        <v>90.459370382626162</v>
      </c>
      <c r="E21" s="9">
        <f t="shared" si="1"/>
        <v>90.535847235140707</v>
      </c>
      <c r="F21" s="9">
        <f t="shared" si="2"/>
        <v>7.6476852514545612E-2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EF202C489544903AE9974BF39310" ma:contentTypeVersion="4" ma:contentTypeDescription="Create a new document." ma:contentTypeScope="" ma:versionID="59bc2029951f676e9f30c2cc126892cb">
  <xsd:schema xmlns:xsd="http://www.w3.org/2001/XMLSchema" xmlns:xs="http://www.w3.org/2001/XMLSchema" xmlns:p="http://schemas.microsoft.com/office/2006/metadata/properties" xmlns:ns3="aa22a689-7505-4716-b802-371d38c763eb" targetNamespace="http://schemas.microsoft.com/office/2006/metadata/properties" ma:root="true" ma:fieldsID="11ccfcbd33bee6523d6e1d1941903c6f" ns3:_="">
    <xsd:import namespace="aa22a689-7505-4716-b802-371d38c763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2a689-7505-4716-b802-371d38c763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6EF28A-F556-475C-A02D-C111F4132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2a689-7505-4716-b802-371d38c76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FB6265-BB53-4E71-8E83-CD72579563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030974-0D93-420C-A8EB-F56E8492BE7E}">
  <ds:schemaRefs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aa22a689-7505-4716-b802-371d38c763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Robert Nikolas</dc:creator>
  <cp:lastModifiedBy>Daniel, Robert Nikolas</cp:lastModifiedBy>
  <dcterms:created xsi:type="dcterms:W3CDTF">2026-06-12T18:20:26Z</dcterms:created>
  <dcterms:modified xsi:type="dcterms:W3CDTF">2026-06-12T19:16:20Z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0x0101007527EF202C489544903AE9974BF39310</vt:lpwstr>
  </property>
</Properties>
</file>